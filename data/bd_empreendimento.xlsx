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164" documentId="11_92485C45C1F39E42E268565A893E8C18510380CC" xr6:coauthVersionLast="47" xr6:coauthVersionMax="47" xr10:uidLastSave="{196DEC18-4471-4045-9943-D4946F28A870}"/>
  <bookViews>
    <workbookView xWindow="240" yWindow="105" windowWidth="14805" windowHeight="8010" activeTab="4" xr2:uid="{00000000-000D-0000-FFFF-FFFF00000000}"/>
  </bookViews>
  <sheets>
    <sheet name="Produtos" sheetId="1" r:id="rId1"/>
    <sheet name="Vendas" sheetId="2" r:id="rId2"/>
    <sheet name="Estoque" sheetId="3" r:id="rId3"/>
    <sheet name="Custos" sheetId="4" r:id="rId4"/>
    <sheet name="Calendari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</calcChain>
</file>

<file path=xl/sharedStrings.xml><?xml version="1.0" encoding="utf-8"?>
<sst xmlns="http://schemas.openxmlformats.org/spreadsheetml/2006/main" count="45" uniqueCount="39">
  <si>
    <t xml:space="preserve">id_produto
</t>
  </si>
  <si>
    <t>nome_Produto</t>
  </si>
  <si>
    <t>categoria</t>
  </si>
  <si>
    <t>tipo</t>
  </si>
  <si>
    <t>custo_unit</t>
  </si>
  <si>
    <t>preco_venda</t>
  </si>
  <si>
    <t>ativo</t>
  </si>
  <si>
    <t>P001</t>
  </si>
  <si>
    <t>Quadro Lar Doce Lar</t>
  </si>
  <si>
    <t>Quadro</t>
  </si>
  <si>
    <t>Kit</t>
  </si>
  <si>
    <t>Sim</t>
  </si>
  <si>
    <t>Id_venda</t>
  </si>
  <si>
    <t>data</t>
  </si>
  <si>
    <t>plataforma</t>
  </si>
  <si>
    <t>id_produto</t>
  </si>
  <si>
    <t>qtd</t>
  </si>
  <si>
    <t>valor_unit</t>
  </si>
  <si>
    <t>status</t>
  </si>
  <si>
    <t>cliente</t>
  </si>
  <si>
    <t>V001</t>
  </si>
  <si>
    <t>Shopee</t>
  </si>
  <si>
    <t>Enviado</t>
  </si>
  <si>
    <t>estoque_inicial</t>
  </si>
  <si>
    <t>entradas</t>
  </si>
  <si>
    <t>saidas</t>
  </si>
  <si>
    <t>ponto_reposicao</t>
  </si>
  <si>
    <t>id_custo</t>
  </si>
  <si>
    <t>tipo_custo</t>
  </si>
  <si>
    <t>descricao</t>
  </si>
  <si>
    <t>valor</t>
  </si>
  <si>
    <t>C001</t>
  </si>
  <si>
    <t>Matéria-prima</t>
  </si>
  <si>
    <t>Vela Lavanda</t>
  </si>
  <si>
    <t>ano</t>
  </si>
  <si>
    <t>mes</t>
  </si>
  <si>
    <t>nome_mes</t>
  </si>
  <si>
    <t>semana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</si>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</sst>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4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/>
    </dxf>
    <dxf>
      <numFmt numFmtId="19" formatCode="dd/mm/yyyy"/>
      <alignment horizontal="center" vertical="center"/>
    </dxf>
    <dxf>
      <numFmt numFmtId="2" formatCode="0.00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/>
    </dxf>
    <dxf>
      <alignment horizontal="center" vertical="center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/>
    </dxf>
    <dxf>
      <alignment horizontal="center" vertical="center"/>
    </dxf>
    <dxf>
      <alignment horizontal="center" vertical="center"/>
    </dxf>
    <dxf>
      <numFmt numFmtId="2" formatCode="0.00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19" formatCode="dd/mm/yyyy"/>
      <alignment horizontal="center" vertical="center"/>
    </dxf>
    <dxf>
      <alignment horizontal="center" vertical="center"/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/>
    </dxf>
    <dxf>
      <alignment horizontal="center" vertical="center"/>
    </dxf>
    <dxf>
      <numFmt numFmtId="2" formatCode="0.00"/>
      <alignment horizontal="center" vertical="center"/>
    </dxf>
    <dxf>
      <numFmt numFmtId="2" formatCode="0.00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4D27FB-D767-4F7A-BE7F-1EC368D4E5F9}" name="Tabela1" displayName="Tabela1" ref="A1:G2" totalsRowShown="0" headerRowDxfId="40" dataDxfId="39">
  <autoFilter ref="A1:G2" xr:uid="{3C4D27FB-D767-4F7A-BE7F-1EC368D4E5F9}"/>
  <tableColumns count="7">
    <tableColumn id="1" xr3:uid="{53854E17-1025-4318-A11A-EB722F5127A7}" name="id_produto_x000a_" dataDxfId="38"/>
    <tableColumn id="2" xr3:uid="{6BFED019-13AD-45B5-A924-A9DDD102D935}" name="nome_Produto" dataDxfId="37"/>
    <tableColumn id="3" xr3:uid="{57D1C2B6-39CE-4E26-B524-90BDCF897C58}" name="categoria" dataDxfId="36"/>
    <tableColumn id="4" xr3:uid="{07BDF4A9-FD9F-41BB-8BDE-5D8367D79323}" name="tipo" dataDxfId="35"/>
    <tableColumn id="5" xr3:uid="{34DBA13E-14BA-4C9F-B736-AF9C48711926}" name="custo_unit" dataDxfId="34"/>
    <tableColumn id="6" xr3:uid="{89BF8BE5-3C92-487C-82E9-4D33606B6B84}" name="preco_venda" dataDxfId="33"/>
    <tableColumn id="7" xr3:uid="{FF842B0F-9B82-4426-8EB2-A4B9D0618D70}" name="ativo" dataDxfId="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A61A6E-7503-475A-B94D-40013691D3DF}" name="Tabela2" displayName="Tabela2" ref="A1:H2" totalsRowShown="0" headerRowDxfId="31" dataDxfId="30">
  <autoFilter ref="A1:H2" xr:uid="{CEA61A6E-7503-475A-B94D-40013691D3DF}"/>
  <tableColumns count="8">
    <tableColumn id="1" xr3:uid="{EEF109AB-A9A5-4BE0-A26A-E3CB512E6A00}" name="Id_venda" dataDxfId="29"/>
    <tableColumn id="2" xr3:uid="{61968229-18BB-4F50-BD3C-7273F225B879}" name="data" dataDxfId="28"/>
    <tableColumn id="3" xr3:uid="{18EB40A7-558B-4E5F-BAF2-512245AAC966}" name="plataforma" dataDxfId="27"/>
    <tableColumn id="4" xr3:uid="{114ECAE8-BE4F-4E7A-BF4D-38879C249A9D}" name="id_produto" dataDxfId="26"/>
    <tableColumn id="5" xr3:uid="{994C2EEB-3777-4DD0-BE46-B2745E85816C}" name="qtd" dataDxfId="25"/>
    <tableColumn id="6" xr3:uid="{E2E69DC6-015D-4015-BD8F-F09551BB60DD}" name="valor_unit" dataDxfId="24"/>
    <tableColumn id="7" xr3:uid="{6AD384D1-E192-485A-98A7-EDB795D5A336}" name="status" dataDxfId="23"/>
    <tableColumn id="8" xr3:uid="{7A1E55C3-FFAF-43F0-A039-75410FA98221}" name="cliente" dataDxfId="2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4FB13F-0ADA-4C85-8632-579495880D14}" name="Tabela3" displayName="Tabela3" ref="A1:E2" totalsRowShown="0" headerRowDxfId="21" dataDxfId="20">
  <autoFilter ref="A1:E2" xr:uid="{904FB13F-0ADA-4C85-8632-579495880D14}"/>
  <tableColumns count="5">
    <tableColumn id="1" xr3:uid="{70C0DD3A-C2E9-4814-9FA1-F1FE119E438B}" name="id_produto" dataDxfId="19"/>
    <tableColumn id="2" xr3:uid="{EB25A646-0A47-4126-82B3-2F2192643A87}" name="estoque_inicial" dataDxfId="18"/>
    <tableColumn id="3" xr3:uid="{0C91F562-21E7-4F3E-A157-62DB82EE95D7}" name="entradas" dataDxfId="17"/>
    <tableColumn id="4" xr3:uid="{42EC167D-F349-4EF9-BC91-FCE35B9B9DC5}" name="saidas" dataDxfId="16">
      <calculatedColumnFormula>SUMIF(Vendas!D2, Vendas!E2)</calculatedColumnFormula>
    </tableColumn>
    <tableColumn id="5" xr3:uid="{FD2E2D18-5250-4776-9677-77706527BFDD}" name="ponto_reposicao" dataDxfId="1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93D0EA-79CB-4760-A2B4-4F4F32B06E34}" name="Tabela4" displayName="Tabela4" ref="A1:E2" totalsRowShown="0" headerRowDxfId="14" dataDxfId="13">
  <autoFilter ref="A1:E2" xr:uid="{7593D0EA-79CB-4760-A2B4-4F4F32B06E34}"/>
  <tableColumns count="5">
    <tableColumn id="1" xr3:uid="{E3FD224A-30BB-49BC-9F83-C3113CA17136}" name="id_custo" dataDxfId="12"/>
    <tableColumn id="2" xr3:uid="{391930BC-CAA2-4EE3-8808-5BDF666CD2CB}" name="tipo_custo" dataDxfId="11"/>
    <tableColumn id="3" xr3:uid="{26BADA03-010E-4F33-A20D-C7B403DD55AF}" name="descricao" dataDxfId="10"/>
    <tableColumn id="4" xr3:uid="{27D47677-A26B-4806-A788-C3601A00224C}" name="valor" dataDxfId="9"/>
    <tableColumn id="5" xr3:uid="{A1085961-2141-4042-B359-6612A11ED52A}" name="data" dataDxfId="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9F7605-6FE0-4ED8-8851-47D7098D6796}" name="Tabela5" displayName="Tabela5" ref="A1:F2" totalsRowShown="0" headerRowDxfId="7" dataDxfId="6">
  <autoFilter ref="A1:F2" xr:uid="{0E9F7605-6FE0-4ED8-8851-47D7098D6796}"/>
  <tableColumns count="6">
    <tableColumn id="1" xr3:uid="{B93B627D-A495-4CF6-AC62-E8C7A2B05B54}" name="data" dataDxfId="5"/>
    <tableColumn id="2" xr3:uid="{FC6EE724-816A-4ADA-A802-135C7DF13999}" name="ano" dataDxfId="4"/>
    <tableColumn id="3" xr3:uid="{8AE1FF12-F4D4-475E-B0AB-1ACAB4997141}" name="mes" dataDxfId="3"/>
    <tableColumn id="4" xr3:uid="{29ED25DE-12EE-4C6B-B5A8-BCC20755E585}" name="nome_mes" dataDxfId="2"/>
    <tableColumn id="5" xr3:uid="{3862AAB2-25A7-442D-82F3-58C11917078E}" name="semana" dataDxfId="1"/>
    <tableColumn id="6" xr3:uid="{0B6950D9-5FE1-4F77-8DD2-D48DE2C6621C}" name="di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G1" sqref="G1"/>
    </sheetView>
  </sheetViews>
  <sheetFormatPr defaultColWidth="23.7109375" defaultRowHeight="15"/>
  <cols>
    <col min="1" max="1" width="36.5703125" style="3" bestFit="1" customWidth="1"/>
    <col min="2" max="4" width="23.7109375" style="3"/>
    <col min="5" max="6" width="23.7109375" style="4"/>
    <col min="7" max="16384" width="23.7109375" style="3"/>
  </cols>
  <sheetData>
    <row r="1" spans="1:7" ht="22.5" customHeight="1">
      <c r="A1" s="8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r="2" spans="1:7">
      <c r="A2" s="3" t="s">
        <v>7</v>
      </c>
      <c r="B2" s="3" t="s">
        <v>8</v>
      </c>
      <c r="C2" s="3" t="s">
        <v>9</v>
      </c>
      <c r="D2" s="3" t="s">
        <v>10</v>
      </c>
      <c r="E2" s="4">
        <v>35</v>
      </c>
      <c r="F2" s="4">
        <v>119</v>
      </c>
      <c r="G2" s="3" t="s">
        <v>11</v>
      </c>
    </row>
    <row r="8" spans="1:7">
      <c r="D8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F28CF-294D-42AB-BB50-337B69AF1278}">
  <dimension ref="A1:H2"/>
  <sheetViews>
    <sheetView workbookViewId="0">
      <selection activeCell="B9" sqref="B9"/>
    </sheetView>
  </sheetViews>
  <sheetFormatPr defaultColWidth="16.5703125" defaultRowHeight="15"/>
  <sheetData>
    <row r="1" spans="1:8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  <row r="2" spans="1:8">
      <c r="A2" s="3" t="s">
        <v>20</v>
      </c>
      <c r="B2" s="5">
        <v>46054</v>
      </c>
      <c r="C2" s="3" t="s">
        <v>21</v>
      </c>
      <c r="D2" s="3" t="s">
        <v>7</v>
      </c>
      <c r="E2" s="3">
        <v>1</v>
      </c>
      <c r="F2" s="4">
        <v>119</v>
      </c>
      <c r="G2" s="3" t="s">
        <v>22</v>
      </c>
      <c r="H2" s="3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A7221-259C-435C-A626-1E27A639FBE6}">
  <dimension ref="A1:E2"/>
  <sheetViews>
    <sheetView workbookViewId="0">
      <selection activeCell="D9" sqref="D9"/>
    </sheetView>
  </sheetViews>
  <sheetFormatPr defaultColWidth="19.7109375" defaultRowHeight="15"/>
  <cols>
    <col min="4" max="4" width="36.5703125" bestFit="1" customWidth="1"/>
  </cols>
  <sheetData>
    <row r="1" spans="1:5">
      <c r="A1" s="1" t="s">
        <v>15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s="3" t="s">
        <v>7</v>
      </c>
      <c r="B2" s="3">
        <v>20</v>
      </c>
      <c r="C2" s="3">
        <v>10</v>
      </c>
      <c r="D2" s="6">
        <f>SUMIF(Vendas!D2, Vendas!E2)</f>
        <v>0</v>
      </c>
      <c r="E2" s="3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1EC00-10A8-42CB-ABD8-9EE96687F3BB}">
  <dimension ref="A1:E2"/>
  <sheetViews>
    <sheetView workbookViewId="0">
      <selection activeCell="E1" sqref="E1"/>
    </sheetView>
  </sheetViews>
  <sheetFormatPr defaultColWidth="23" defaultRowHeight="15"/>
  <sheetData>
    <row r="1" spans="1:5">
      <c r="A1" s="1" t="s">
        <v>27</v>
      </c>
      <c r="B1" s="1" t="s">
        <v>28</v>
      </c>
      <c r="C1" s="1" t="s">
        <v>29</v>
      </c>
      <c r="D1" s="1" t="s">
        <v>30</v>
      </c>
      <c r="E1" s="1" t="s">
        <v>13</v>
      </c>
    </row>
    <row r="2" spans="1:5">
      <c r="A2" s="3" t="s">
        <v>31</v>
      </c>
      <c r="B2" s="3" t="s">
        <v>32</v>
      </c>
      <c r="C2" s="3" t="s">
        <v>33</v>
      </c>
      <c r="D2" s="4">
        <v>120</v>
      </c>
      <c r="E2" s="5">
        <v>46054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16D89-4B3A-4E61-BC8D-C24EB5560522}">
  <dimension ref="A1:F7"/>
  <sheetViews>
    <sheetView tabSelected="1" workbookViewId="0">
      <selection activeCell="C7" sqref="C7"/>
    </sheetView>
  </sheetViews>
  <sheetFormatPr defaultColWidth="23.85546875" defaultRowHeight="15"/>
  <sheetData>
    <row r="1" spans="1:6">
      <c r="A1" s="1" t="s">
        <v>13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</row>
    <row r="2" spans="1:6">
      <c r="A2" s="3"/>
      <c r="B2" s="3"/>
      <c r="C2" s="3"/>
      <c r="D2" s="3"/>
      <c r="E2" s="3"/>
      <c r="F2" s="3"/>
    </row>
    <row r="7" spans="1:6">
      <c r="C7" s="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Daiane Nicacio</cp:lastModifiedBy>
  <cp:revision/>
  <dcterms:created xsi:type="dcterms:W3CDTF">2026-02-10T14:06:49Z</dcterms:created>
  <dcterms:modified xsi:type="dcterms:W3CDTF">2026-02-11T18:02:18Z</dcterms:modified>
  <cp:category/>
  <cp:contentStatus/>
</cp:coreProperties>
</file>